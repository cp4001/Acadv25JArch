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unhoi\Desktop\Work\Acadv25JArch\WinformDiaSel\"/>
    </mc:Choice>
  </mc:AlternateContent>
  <xr:revisionPtr revIDLastSave="0" documentId="8_{BCB94541-2A0B-47B7-8CD3-552D8CE909C7}" xr6:coauthVersionLast="47" xr6:coauthVersionMax="47" xr10:uidLastSave="{00000000-0000-0000-0000-000000000000}"/>
  <bookViews>
    <workbookView xWindow="-110" yWindow="-110" windowWidth="25820" windowHeight="15500" xr2:uid="{6728C1AF-D59B-450B-9FBE-D0BC6668C4A7}"/>
  </bookViews>
  <sheets>
    <sheet name="급수관경결정" sheetId="2" r:id="rId1"/>
    <sheet name="계산검증" sheetId="3" r:id="rId2"/>
  </sheets>
  <definedNames>
    <definedName name="__xleta.HLOOKUP" hidden="1" xlm="1">#NAME?</definedName>
    <definedName name="_xlnm.Print_Area" localSheetId="0">급수관경결정!$A$1:$L$29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Q6" i="2"/>
  <c r="Q7" i="2"/>
  <c r="Q8" i="2"/>
  <c r="Q9" i="2"/>
  <c r="Q10" i="2"/>
  <c r="Q11" i="2"/>
  <c r="Q12" i="2"/>
  <c r="Q13" i="2"/>
  <c r="Q14" i="2"/>
  <c r="C17" i="2"/>
  <c r="E17" i="2" s="1"/>
  <c r="F17" i="2"/>
  <c r="C18" i="2"/>
  <c r="E18" i="2"/>
  <c r="C19" i="2"/>
  <c r="E19" i="2" s="1"/>
  <c r="C20" i="2"/>
  <c r="E20" i="2" s="1"/>
  <c r="C21" i="2"/>
  <c r="E21" i="2" s="1"/>
  <c r="C22" i="2"/>
  <c r="E22" i="2" s="1"/>
  <c r="C23" i="2"/>
  <c r="E23" i="2"/>
  <c r="C24" i="2"/>
  <c r="D24" i="2"/>
  <c r="G17" i="2" l="1"/>
  <c r="H17" i="2" s="1"/>
  <c r="E24" i="2"/>
  <c r="F24" i="2" l="1"/>
  <c r="G24" i="2" s="1"/>
  <c r="H24" i="2" l="1"/>
  <c r="I25" i="2"/>
  <c r="G25" i="2"/>
  <c r="H25" i="2" s="1"/>
</calcChain>
</file>

<file path=xl/sharedStrings.xml><?xml version="1.0" encoding="utf-8"?>
<sst xmlns="http://schemas.openxmlformats.org/spreadsheetml/2006/main" count="30" uniqueCount="28">
  <si>
    <t>* 주의) 동시사용율을 곱한값이 35 이상이면 마찰손실도표를 이용한다.</t>
    <phoneticPr fontId="4" type="noConversion"/>
  </si>
  <si>
    <t>관경결정 -&gt;</t>
    <phoneticPr fontId="4" type="noConversion"/>
  </si>
  <si>
    <t>일반기구 계</t>
    <phoneticPr fontId="4" type="noConversion"/>
  </si>
  <si>
    <t>주방씽크</t>
    <phoneticPr fontId="4" type="noConversion"/>
  </si>
  <si>
    <t>욕조</t>
    <phoneticPr fontId="4" type="noConversion"/>
  </si>
  <si>
    <t>샤워</t>
    <phoneticPr fontId="4" type="noConversion"/>
  </si>
  <si>
    <t>청소씽크</t>
    <phoneticPr fontId="4" type="noConversion"/>
  </si>
  <si>
    <t>세면기</t>
    <phoneticPr fontId="4" type="noConversion"/>
  </si>
  <si>
    <t>일반기구</t>
    <phoneticPr fontId="4" type="noConversion"/>
  </si>
  <si>
    <t>소변기</t>
    <phoneticPr fontId="4" type="noConversion"/>
  </si>
  <si>
    <t>대변기
(세정밸브)</t>
    <phoneticPr fontId="4" type="noConversion"/>
  </si>
  <si>
    <t>대변기</t>
    <phoneticPr fontId="4" type="noConversion"/>
  </si>
  <si>
    <t>기구수</t>
    <phoneticPr fontId="4" type="noConversion"/>
  </si>
  <si>
    <t>결정관경</t>
    <phoneticPr fontId="4" type="noConversion"/>
  </si>
  <si>
    <t>동시사용갯수</t>
    <phoneticPr fontId="4" type="noConversion"/>
  </si>
  <si>
    <t>동시사용율</t>
    <phoneticPr fontId="4" type="noConversion"/>
  </si>
  <si>
    <t>합계</t>
    <phoneticPr fontId="4" type="noConversion"/>
  </si>
  <si>
    <t>수량</t>
    <phoneticPr fontId="4" type="noConversion"/>
  </si>
  <si>
    <t>15A 환산</t>
    <phoneticPr fontId="4" type="noConversion"/>
  </si>
  <si>
    <t>접속관경</t>
    <phoneticPr fontId="4" type="noConversion"/>
  </si>
  <si>
    <t>위생기기</t>
    <phoneticPr fontId="4" type="noConversion"/>
  </si>
  <si>
    <t>동시사용계수</t>
    <phoneticPr fontId="4" type="noConversion"/>
  </si>
  <si>
    <t>관균등표에의한 관경결정</t>
    <phoneticPr fontId="4" type="noConversion"/>
  </si>
  <si>
    <t>15관균등</t>
    <phoneticPr fontId="4" type="noConversion"/>
  </si>
  <si>
    <t>관경</t>
    <phoneticPr fontId="4" type="noConversion"/>
  </si>
  <si>
    <t>동관 L-TYPE</t>
    <phoneticPr fontId="4" type="noConversion"/>
  </si>
  <si>
    <t>관균등표</t>
    <phoneticPr fontId="4" type="noConversion"/>
  </si>
  <si>
    <t>관균등표에 의한 위생배관 급수 관경 결정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</si>
</sst>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#,##0.00&quot; 개&quot;"/>
    <numFmt numFmtId="177" formatCode="General\ &quot;A&quot;"/>
    <numFmt numFmtId="178" formatCode="0.00_ "/>
    <numFmt numFmtId="179" formatCode="0.0_ "/>
  </numFmts>
  <fonts count="6" x14ac:knownFonts="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4"/>
      <color indexed="10"/>
      <name val="돋움"/>
      <family val="3"/>
      <charset val="129"/>
    </font>
    <font>
      <sz val="8"/>
      <name val="돋움"/>
      <family val="3"/>
      <charset val="129"/>
    </font>
    <font>
      <b/>
      <sz val="11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1" fillId="0" borderId="0" xfId="1">
      <alignment vertical="center"/>
    </xf>
    <xf numFmtId="0" fontId="1" fillId="2" borderId="0" xfId="1" applyFill="1">
      <alignment vertical="center"/>
    </xf>
    <xf numFmtId="0" fontId="1" fillId="3" borderId="1" xfId="1" applyFill="1" applyBorder="1">
      <alignment vertical="center"/>
    </xf>
    <xf numFmtId="176" fontId="1" fillId="3" borderId="2" xfId="1" applyNumberFormat="1" applyFill="1" applyBorder="1" applyAlignment="1">
      <alignment horizontal="left" vertical="center"/>
    </xf>
    <xf numFmtId="177" fontId="3" fillId="3" borderId="2" xfId="1" applyNumberFormat="1" applyFont="1" applyFill="1" applyBorder="1">
      <alignment vertical="center"/>
    </xf>
    <xf numFmtId="0" fontId="1" fillId="2" borderId="3" xfId="1" applyFill="1" applyBorder="1">
      <alignment vertical="center"/>
    </xf>
    <xf numFmtId="0" fontId="1" fillId="2" borderId="4" xfId="1" applyFill="1" applyBorder="1">
      <alignment vertical="center"/>
    </xf>
    <xf numFmtId="0" fontId="1" fillId="2" borderId="5" xfId="1" applyFill="1" applyBorder="1">
      <alignment vertical="center"/>
    </xf>
    <xf numFmtId="0" fontId="5" fillId="0" borderId="2" xfId="1" applyFont="1" applyBorder="1">
      <alignment vertical="center"/>
    </xf>
    <xf numFmtId="43" fontId="1" fillId="0" borderId="2" xfId="1" applyNumberFormat="1" applyBorder="1" applyAlignment="1">
      <alignment horizontal="right" vertical="center"/>
    </xf>
    <xf numFmtId="178" fontId="1" fillId="0" borderId="2" xfId="1" applyNumberFormat="1" applyBorder="1">
      <alignment vertical="center"/>
    </xf>
    <xf numFmtId="0" fontId="1" fillId="0" borderId="2" xfId="1" applyBorder="1">
      <alignment vertical="center"/>
    </xf>
    <xf numFmtId="0" fontId="1" fillId="4" borderId="2" xfId="1" applyFill="1" applyBorder="1">
      <alignment vertical="center"/>
    </xf>
    <xf numFmtId="0" fontId="1" fillId="3" borderId="2" xfId="1" applyFill="1" applyBorder="1">
      <alignment vertical="center"/>
    </xf>
    <xf numFmtId="43" fontId="1" fillId="3" borderId="2" xfId="1" applyNumberFormat="1" applyFill="1" applyBorder="1" applyAlignment="1">
      <alignment horizontal="right" vertical="center"/>
    </xf>
    <xf numFmtId="41" fontId="0" fillId="0" borderId="2" xfId="2" applyFont="1" applyBorder="1" applyAlignment="1">
      <alignment horizontal="center" vertical="center"/>
    </xf>
    <xf numFmtId="178" fontId="1" fillId="3" borderId="2" xfId="1" applyNumberFormat="1" applyFill="1" applyBorder="1" applyAlignment="1">
      <alignment vertical="center" shrinkToFit="1"/>
    </xf>
    <xf numFmtId="0" fontId="4" fillId="3" borderId="2" xfId="1" applyFont="1" applyFill="1" applyBorder="1">
      <alignment vertical="center"/>
    </xf>
    <xf numFmtId="0" fontId="4" fillId="3" borderId="2" xfId="1" applyFont="1" applyFill="1" applyBorder="1" applyAlignment="1">
      <alignment vertical="center" wrapText="1"/>
    </xf>
    <xf numFmtId="0" fontId="4" fillId="3" borderId="2" xfId="1" applyFont="1" applyFill="1" applyBorder="1" applyAlignment="1">
      <alignment horizontal="center" vertical="center"/>
    </xf>
    <xf numFmtId="179" fontId="1" fillId="2" borderId="0" xfId="1" applyNumberFormat="1" applyFill="1">
      <alignment vertical="center"/>
    </xf>
    <xf numFmtId="0" fontId="5" fillId="3" borderId="6" xfId="1" applyFont="1" applyFill="1" applyBorder="1">
      <alignment vertical="center"/>
    </xf>
    <xf numFmtId="178" fontId="1" fillId="3" borderId="0" xfId="1" applyNumberFormat="1" applyFill="1">
      <alignment vertical="center"/>
    </xf>
    <xf numFmtId="178" fontId="1" fillId="0" borderId="0" xfId="1" applyNumberFormat="1">
      <alignment vertical="center"/>
    </xf>
    <xf numFmtId="178" fontId="1" fillId="2" borderId="0" xfId="1" applyNumberFormat="1" applyFill="1">
      <alignment vertical="center"/>
    </xf>
    <xf numFmtId="178" fontId="1" fillId="3" borderId="2" xfId="1" applyNumberFormat="1" applyFill="1" applyBorder="1">
      <alignment vertical="center"/>
    </xf>
    <xf numFmtId="0" fontId="1" fillId="3" borderId="7" xfId="1" applyFill="1" applyBorder="1">
      <alignment vertical="center"/>
    </xf>
    <xf numFmtId="0" fontId="5" fillId="3" borderId="2" xfId="1" applyFont="1" applyFill="1" applyBorder="1">
      <alignment vertical="center"/>
    </xf>
    <xf numFmtId="0" fontId="5" fillId="0" borderId="0" xfId="1" applyFont="1">
      <alignment vertical="center"/>
    </xf>
    <xf numFmtId="0" fontId="5" fillId="3" borderId="6" xfId="1" applyFont="1" applyFill="1" applyBorder="1" applyAlignment="1">
      <alignment horizontal="center" vertical="center" shrinkToFit="1"/>
    </xf>
    <xf numFmtId="0" fontId="5" fillId="3" borderId="1" xfId="1" applyFont="1" applyFill="1" applyBorder="1" applyAlignment="1">
      <alignment horizontal="center" vertical="center" shrinkToFit="1"/>
    </xf>
  </cellXfs>
  <cellStyles count="3">
    <cellStyle name="쉼표 [0] 2" xfId="2" xr:uid="{BA17983B-B69C-4D88-A401-FD3808E220C0}"/>
    <cellStyle name="표준" xfId="0" builtinId="0"/>
    <cellStyle name="표준 2" xfId="1" xr:uid="{7CDAB0D8-409A-43BA-B38D-4D930FB017B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5521</xdr:colOff>
          <xdr:row>25</xdr:row>
          <xdr:rowOff>173659</xdr:rowOff>
        </xdr:from>
        <xdr:ext cx="10436087" cy="977348"/>
        <xdr:pic>
          <xdr:nvPicPr>
            <xdr:cNvPr id="2" name="Picture 2">
              <a:extLst>
                <a:ext uri="{FF2B5EF4-FFF2-40B4-BE49-F238E27FC236}">
                  <a16:creationId xmlns:a16="http://schemas.microsoft.com/office/drawing/2014/main" id="{87B75148-A9DE-4D7F-B721-2A4784ED6F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T$15:$AW$18" spid="_x0000_s10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521" y="6667224"/>
              <a:ext cx="10436087" cy="97734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0AEEE-B484-4EED-B5FB-7B36FD6843E4}">
  <sheetPr codeName="Sheet2"/>
  <dimension ref="A1:AW30"/>
  <sheetViews>
    <sheetView tabSelected="1" view="pageBreakPreview" topLeftCell="A4" zoomScale="115" zoomScaleNormal="85" workbookViewId="0">
      <selection activeCell="R8" sqref="R8"/>
    </sheetView>
  </sheetViews>
  <sheetFormatPr defaultColWidth="11.08203125" defaultRowHeight="25.5" customHeight="1" x14ac:dyDescent="0.45"/>
  <cols>
    <col min="1" max="5" width="11.08203125" style="1" customWidth="1"/>
    <col min="6" max="6" width="13.5" style="1" customWidth="1"/>
    <col min="7" max="10" width="11.08203125" style="1" customWidth="1"/>
    <col min="11" max="16" width="11.08203125" style="2" customWidth="1"/>
    <col min="17" max="20" width="8.75" style="1" customWidth="1"/>
    <col min="21" max="49" width="4.4140625" style="1" customWidth="1"/>
    <col min="50" max="16384" width="11.08203125" style="1"/>
  </cols>
  <sheetData>
    <row r="1" spans="1:49" ht="25.5" customHeight="1" x14ac:dyDescent="0.45">
      <c r="A1" s="29" t="s">
        <v>27</v>
      </c>
    </row>
    <row r="2" spans="1:49" ht="15.75" customHeight="1" x14ac:dyDescent="0.45">
      <c r="A2" s="28" t="s">
        <v>26</v>
      </c>
      <c r="B2" s="2" t="s">
        <v>25</v>
      </c>
      <c r="C2" s="2"/>
      <c r="D2" s="2"/>
      <c r="E2" s="2"/>
      <c r="F2" s="2"/>
      <c r="G2" s="2"/>
      <c r="H2" s="2"/>
      <c r="I2" s="2"/>
      <c r="J2" s="2"/>
    </row>
    <row r="3" spans="1:49" ht="21" customHeight="1" x14ac:dyDescent="0.45">
      <c r="A3" s="27" t="s">
        <v>24</v>
      </c>
      <c r="B3" s="14">
        <v>15</v>
      </c>
      <c r="C3" s="14">
        <v>20</v>
      </c>
      <c r="D3" s="14">
        <v>25</v>
      </c>
      <c r="E3" s="14">
        <v>32</v>
      </c>
      <c r="F3" s="14">
        <v>40</v>
      </c>
      <c r="G3" s="14">
        <v>50</v>
      </c>
      <c r="H3" s="14">
        <v>65</v>
      </c>
      <c r="I3" s="14">
        <v>80</v>
      </c>
      <c r="J3" s="14">
        <v>100</v>
      </c>
      <c r="K3" s="14">
        <v>125</v>
      </c>
      <c r="L3" s="14">
        <v>150</v>
      </c>
      <c r="Q3" s="1" t="s">
        <v>23</v>
      </c>
      <c r="R3" s="1" t="s">
        <v>24</v>
      </c>
      <c r="S3" s="1" t="s">
        <v>23</v>
      </c>
    </row>
    <row r="4" spans="1:49" ht="21" customHeight="1" x14ac:dyDescent="0.45">
      <c r="A4" s="14">
        <v>15</v>
      </c>
      <c r="B4" s="26">
        <v>1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5"/>
      <c r="N4" s="25"/>
      <c r="O4" s="25"/>
      <c r="Q4" s="1">
        <v>0</v>
      </c>
      <c r="R4" s="1">
        <v>15</v>
      </c>
      <c r="S4" s="23">
        <v>1</v>
      </c>
    </row>
    <row r="5" spans="1:49" ht="21" customHeight="1" x14ac:dyDescent="0.45">
      <c r="A5" s="14">
        <v>20</v>
      </c>
      <c r="B5" s="26">
        <v>2.6</v>
      </c>
      <c r="C5" s="26">
        <v>1</v>
      </c>
      <c r="D5" s="26"/>
      <c r="E5" s="26"/>
      <c r="F5" s="26"/>
      <c r="G5" s="26"/>
      <c r="H5" s="26"/>
      <c r="I5" s="26"/>
      <c r="J5" s="26"/>
      <c r="K5" s="26"/>
      <c r="L5" s="26"/>
      <c r="M5" s="25"/>
      <c r="N5" s="25"/>
      <c r="O5" s="25"/>
      <c r="Q5" s="1">
        <v>1.01</v>
      </c>
      <c r="R5" s="1">
        <v>20</v>
      </c>
      <c r="S5" s="23">
        <v>2.6</v>
      </c>
    </row>
    <row r="6" spans="1:49" ht="21" customHeight="1" x14ac:dyDescent="0.45">
      <c r="A6" s="14">
        <v>25</v>
      </c>
      <c r="B6" s="26">
        <v>4.9000000000000004</v>
      </c>
      <c r="C6" s="26">
        <v>2</v>
      </c>
      <c r="D6" s="26">
        <v>1</v>
      </c>
      <c r="E6" s="26"/>
      <c r="F6" s="26"/>
      <c r="G6" s="26"/>
      <c r="H6" s="26"/>
      <c r="I6" s="26"/>
      <c r="J6" s="26"/>
      <c r="K6" s="26"/>
      <c r="L6" s="26"/>
      <c r="M6" s="25"/>
      <c r="N6" s="25"/>
      <c r="O6" s="25"/>
      <c r="Q6" s="24">
        <f t="shared" ref="Q6:Q14" si="0">S5+0.01</f>
        <v>2.61</v>
      </c>
      <c r="R6" s="1">
        <v>25</v>
      </c>
      <c r="S6" s="23">
        <v>4.9000000000000004</v>
      </c>
    </row>
    <row r="7" spans="1:49" ht="21" customHeight="1" x14ac:dyDescent="0.45">
      <c r="A7" s="14">
        <v>32</v>
      </c>
      <c r="B7" s="26">
        <v>9.1999999999999993</v>
      </c>
      <c r="C7" s="26">
        <v>3.5</v>
      </c>
      <c r="D7" s="26">
        <v>1.7</v>
      </c>
      <c r="E7" s="26">
        <v>1</v>
      </c>
      <c r="F7" s="26"/>
      <c r="G7" s="26"/>
      <c r="H7" s="26"/>
      <c r="I7" s="26"/>
      <c r="J7" s="26"/>
      <c r="K7" s="26"/>
      <c r="L7" s="26"/>
      <c r="M7" s="25"/>
      <c r="N7" s="25"/>
      <c r="O7" s="25"/>
      <c r="Q7" s="24">
        <f t="shared" si="0"/>
        <v>4.91</v>
      </c>
      <c r="R7" s="1">
        <v>32</v>
      </c>
      <c r="S7" s="23">
        <v>9.1999999999999993</v>
      </c>
    </row>
    <row r="8" spans="1:49" ht="21" customHeight="1" x14ac:dyDescent="0.45">
      <c r="A8" s="14">
        <v>40</v>
      </c>
      <c r="B8" s="26">
        <v>14.5</v>
      </c>
      <c r="C8" s="26">
        <v>5.5</v>
      </c>
      <c r="D8" s="26">
        <v>2.7</v>
      </c>
      <c r="E8" s="26">
        <v>1.6</v>
      </c>
      <c r="F8" s="26">
        <v>1</v>
      </c>
      <c r="G8" s="26"/>
      <c r="H8" s="26"/>
      <c r="I8" s="26"/>
      <c r="J8" s="26"/>
      <c r="K8" s="26"/>
      <c r="L8" s="26"/>
      <c r="M8" s="25"/>
      <c r="N8" s="25"/>
      <c r="O8" s="25"/>
      <c r="Q8" s="24">
        <f t="shared" si="0"/>
        <v>9.2099999999999991</v>
      </c>
      <c r="R8" s="1">
        <v>40</v>
      </c>
      <c r="S8" s="23">
        <v>14.5</v>
      </c>
    </row>
    <row r="9" spans="1:49" ht="21" customHeight="1" x14ac:dyDescent="0.45">
      <c r="A9" s="14">
        <v>50</v>
      </c>
      <c r="B9" s="26">
        <v>30</v>
      </c>
      <c r="C9" s="26">
        <v>11.5</v>
      </c>
      <c r="D9" s="26">
        <v>5.7</v>
      </c>
      <c r="E9" s="26">
        <v>3.3</v>
      </c>
      <c r="F9" s="26">
        <v>2.1</v>
      </c>
      <c r="G9" s="26">
        <v>1</v>
      </c>
      <c r="H9" s="26"/>
      <c r="I9" s="26"/>
      <c r="J9" s="26"/>
      <c r="K9" s="26"/>
      <c r="L9" s="26"/>
      <c r="M9" s="25"/>
      <c r="N9" s="25"/>
      <c r="O9" s="25"/>
      <c r="Q9" s="24">
        <f t="shared" si="0"/>
        <v>14.51</v>
      </c>
      <c r="R9" s="1">
        <v>50</v>
      </c>
      <c r="S9" s="23">
        <v>30</v>
      </c>
    </row>
    <row r="10" spans="1:49" ht="21" customHeight="1" x14ac:dyDescent="0.45">
      <c r="A10" s="14">
        <v>65</v>
      </c>
      <c r="B10" s="26">
        <v>53</v>
      </c>
      <c r="C10" s="26">
        <v>20.3</v>
      </c>
      <c r="D10" s="26">
        <v>10.1</v>
      </c>
      <c r="E10" s="26">
        <v>5.8</v>
      </c>
      <c r="F10" s="26">
        <v>3.7</v>
      </c>
      <c r="G10" s="26">
        <v>1.8</v>
      </c>
      <c r="H10" s="26">
        <v>1</v>
      </c>
      <c r="I10" s="26"/>
      <c r="J10" s="26"/>
      <c r="K10" s="26"/>
      <c r="L10" s="26"/>
      <c r="M10" s="25"/>
      <c r="N10" s="25"/>
      <c r="O10" s="25"/>
      <c r="Q10" s="24">
        <f t="shared" si="0"/>
        <v>30.01</v>
      </c>
      <c r="R10" s="1">
        <v>65</v>
      </c>
      <c r="S10" s="23">
        <v>53</v>
      </c>
    </row>
    <row r="11" spans="1:49" ht="21" customHeight="1" x14ac:dyDescent="0.45">
      <c r="A11" s="14">
        <v>80</v>
      </c>
      <c r="B11" s="26">
        <v>84.6</v>
      </c>
      <c r="C11" s="26">
        <v>32.299999999999997</v>
      </c>
      <c r="D11" s="26">
        <v>16</v>
      </c>
      <c r="E11" s="26">
        <v>9.1999999999999993</v>
      </c>
      <c r="F11" s="26">
        <v>5.8</v>
      </c>
      <c r="G11" s="26">
        <v>2.8</v>
      </c>
      <c r="H11" s="26">
        <v>1.6</v>
      </c>
      <c r="I11" s="26">
        <v>1</v>
      </c>
      <c r="J11" s="26"/>
      <c r="K11" s="26"/>
      <c r="L11" s="26"/>
      <c r="M11" s="25"/>
      <c r="N11" s="25"/>
      <c r="O11" s="25"/>
      <c r="Q11" s="24">
        <f t="shared" si="0"/>
        <v>53.01</v>
      </c>
      <c r="R11" s="1">
        <v>80</v>
      </c>
      <c r="S11" s="23">
        <v>84.6</v>
      </c>
    </row>
    <row r="12" spans="1:49" ht="21" customHeight="1" x14ac:dyDescent="0.45">
      <c r="A12" s="14">
        <v>100</v>
      </c>
      <c r="B12" s="26">
        <v>178</v>
      </c>
      <c r="C12" s="26">
        <v>67.900000000000006</v>
      </c>
      <c r="D12" s="26">
        <v>33.700000000000003</v>
      </c>
      <c r="E12" s="26">
        <v>19.399999999999999</v>
      </c>
      <c r="F12" s="26">
        <v>12.3</v>
      </c>
      <c r="G12" s="26">
        <v>5.9</v>
      </c>
      <c r="H12" s="26">
        <v>3.4</v>
      </c>
      <c r="I12" s="26">
        <v>2.1</v>
      </c>
      <c r="J12" s="26">
        <v>1</v>
      </c>
      <c r="K12" s="26"/>
      <c r="L12" s="26"/>
      <c r="M12" s="25"/>
      <c r="N12" s="25"/>
      <c r="O12" s="25"/>
      <c r="Q12" s="24">
        <f t="shared" si="0"/>
        <v>84.61</v>
      </c>
      <c r="R12" s="1">
        <v>100</v>
      </c>
      <c r="S12" s="23">
        <v>178</v>
      </c>
    </row>
    <row r="13" spans="1:49" ht="21" customHeight="1" x14ac:dyDescent="0.45">
      <c r="A13" s="14">
        <v>125</v>
      </c>
      <c r="B13" s="26">
        <v>280</v>
      </c>
      <c r="C13" s="26">
        <v>105.6</v>
      </c>
      <c r="D13" s="26">
        <v>56</v>
      </c>
      <c r="E13" s="26">
        <v>33.299999999999997</v>
      </c>
      <c r="F13" s="26">
        <v>17.7</v>
      </c>
      <c r="G13" s="26">
        <v>10.57</v>
      </c>
      <c r="H13" s="26">
        <v>5.48</v>
      </c>
      <c r="I13" s="26">
        <v>3.5</v>
      </c>
      <c r="J13" s="26">
        <v>1.7</v>
      </c>
      <c r="K13" s="26">
        <v>1</v>
      </c>
      <c r="L13" s="26"/>
      <c r="M13" s="25"/>
      <c r="N13" s="25"/>
      <c r="O13" s="25"/>
      <c r="Q13" s="24">
        <f t="shared" si="0"/>
        <v>178.01</v>
      </c>
      <c r="R13" s="1">
        <v>125</v>
      </c>
      <c r="S13" s="23">
        <v>280</v>
      </c>
    </row>
    <row r="14" spans="1:49" ht="21" customHeight="1" x14ac:dyDescent="0.45">
      <c r="A14" s="14">
        <v>150</v>
      </c>
      <c r="B14" s="26">
        <v>452</v>
      </c>
      <c r="C14" s="26">
        <v>154</v>
      </c>
      <c r="D14" s="26">
        <v>88.18</v>
      </c>
      <c r="E14" s="26">
        <v>56.16</v>
      </c>
      <c r="F14" s="26">
        <v>27.27</v>
      </c>
      <c r="G14" s="26">
        <v>15.58</v>
      </c>
      <c r="H14" s="26">
        <v>8.09</v>
      </c>
      <c r="I14" s="26">
        <v>5.65</v>
      </c>
      <c r="J14" s="26">
        <v>2.75</v>
      </c>
      <c r="K14" s="26">
        <v>1.7</v>
      </c>
      <c r="L14" s="26">
        <v>1</v>
      </c>
      <c r="M14" s="25"/>
      <c r="N14" s="25"/>
      <c r="O14" s="25"/>
      <c r="Q14" s="24">
        <f t="shared" si="0"/>
        <v>280.01</v>
      </c>
      <c r="R14" s="1">
        <v>150</v>
      </c>
      <c r="S14" s="23">
        <v>452</v>
      </c>
    </row>
    <row r="15" spans="1:49" ht="17.25" customHeight="1" x14ac:dyDescent="0.45">
      <c r="A15" s="22" t="s">
        <v>22</v>
      </c>
      <c r="B15" s="3"/>
      <c r="C15" s="2"/>
      <c r="D15" s="2"/>
      <c r="E15" s="2"/>
      <c r="F15" s="2"/>
      <c r="G15" s="2"/>
      <c r="H15" s="2"/>
      <c r="I15" s="2"/>
      <c r="J15" s="2"/>
      <c r="T15" s="30" t="s">
        <v>21</v>
      </c>
      <c r="U15" s="31"/>
      <c r="V15" s="2"/>
      <c r="W15" s="2"/>
      <c r="X15" s="2"/>
      <c r="Y15" s="2"/>
      <c r="Z15" s="21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9" ht="20.25" customHeight="1" x14ac:dyDescent="0.45">
      <c r="A16" s="14" t="s">
        <v>20</v>
      </c>
      <c r="B16" s="14" t="s">
        <v>19</v>
      </c>
      <c r="C16" s="14" t="s">
        <v>18</v>
      </c>
      <c r="D16" s="14" t="s">
        <v>17</v>
      </c>
      <c r="E16" s="14" t="s">
        <v>16</v>
      </c>
      <c r="F16" s="14" t="s">
        <v>15</v>
      </c>
      <c r="G16" s="14" t="s">
        <v>14</v>
      </c>
      <c r="H16" s="14" t="s">
        <v>13</v>
      </c>
      <c r="I16" s="2"/>
      <c r="J16" s="2"/>
      <c r="T16" s="18" t="s">
        <v>12</v>
      </c>
      <c r="U16" s="20">
        <v>1</v>
      </c>
      <c r="V16" s="20">
        <v>2</v>
      </c>
      <c r="W16" s="20">
        <v>3</v>
      </c>
      <c r="X16" s="20">
        <v>4</v>
      </c>
      <c r="Y16" s="20">
        <v>5</v>
      </c>
      <c r="Z16" s="20">
        <v>6</v>
      </c>
      <c r="AA16" s="20">
        <v>7</v>
      </c>
      <c r="AB16" s="20">
        <v>8</v>
      </c>
      <c r="AC16" s="20">
        <v>9</v>
      </c>
      <c r="AD16" s="20">
        <v>10</v>
      </c>
      <c r="AE16" s="20">
        <v>11</v>
      </c>
      <c r="AF16" s="20">
        <v>12</v>
      </c>
      <c r="AG16" s="20">
        <v>13</v>
      </c>
      <c r="AH16" s="20">
        <v>14</v>
      </c>
      <c r="AI16" s="20">
        <v>15</v>
      </c>
      <c r="AJ16" s="20">
        <v>16</v>
      </c>
      <c r="AK16" s="20">
        <v>17</v>
      </c>
      <c r="AL16" s="20">
        <v>18</v>
      </c>
      <c r="AM16" s="20">
        <v>19</v>
      </c>
      <c r="AN16" s="20">
        <v>20</v>
      </c>
      <c r="AO16" s="20">
        <v>21</v>
      </c>
      <c r="AP16" s="20">
        <v>22</v>
      </c>
      <c r="AQ16" s="20">
        <v>23</v>
      </c>
      <c r="AR16" s="20">
        <v>24</v>
      </c>
      <c r="AS16" s="20">
        <v>32</v>
      </c>
      <c r="AT16" s="20">
        <v>40</v>
      </c>
      <c r="AU16" s="20">
        <v>50</v>
      </c>
      <c r="AV16" s="20">
        <v>70</v>
      </c>
      <c r="AW16" s="20">
        <v>100</v>
      </c>
    </row>
    <row r="17" spans="1:49" ht="20.25" customHeight="1" x14ac:dyDescent="0.45">
      <c r="A17" s="14" t="s">
        <v>11</v>
      </c>
      <c r="B17" s="16">
        <v>25</v>
      </c>
      <c r="C17" s="12">
        <f t="shared" ref="C17:C24" si="1">IF(B17="","",(LOOKUP(B17,$A$4:$B$14)))</f>
        <v>4.9000000000000004</v>
      </c>
      <c r="D17" s="13">
        <v>3</v>
      </c>
      <c r="E17" s="12">
        <f t="shared" ref="E17:E23" si="2">IF(D17="","",D17*C17)</f>
        <v>14.700000000000001</v>
      </c>
      <c r="F17" s="11">
        <f>IF(D17="","",(HLOOKUP(D17,$T$16:$AW$18,2)*0.01))</f>
        <v>0.82500000000000007</v>
      </c>
      <c r="G17" s="10">
        <f>IF(D17="","",ROUND(F17*E17,2))</f>
        <v>12.13</v>
      </c>
      <c r="H17" s="5">
        <f>LOOKUP(G17,$Q$3:$R$14)</f>
        <v>40</v>
      </c>
      <c r="I17" s="2"/>
      <c r="J17" s="2"/>
      <c r="T17" s="19" t="s">
        <v>10</v>
      </c>
      <c r="U17" s="18">
        <v>100</v>
      </c>
      <c r="V17" s="18">
        <v>100</v>
      </c>
      <c r="W17" s="17">
        <v>82.5</v>
      </c>
      <c r="X17" s="17">
        <v>65</v>
      </c>
      <c r="Y17" s="17">
        <v>60</v>
      </c>
      <c r="Z17" s="17">
        <v>55</v>
      </c>
      <c r="AA17" s="17">
        <v>50</v>
      </c>
      <c r="AB17" s="17">
        <v>45</v>
      </c>
      <c r="AC17" s="17">
        <v>43.75</v>
      </c>
      <c r="AD17" s="17">
        <v>42.5</v>
      </c>
      <c r="AE17" s="17">
        <v>41.25</v>
      </c>
      <c r="AF17" s="17">
        <v>40</v>
      </c>
      <c r="AG17" s="17">
        <v>38.75</v>
      </c>
      <c r="AH17" s="17">
        <v>37.5</v>
      </c>
      <c r="AI17" s="17">
        <v>36.25</v>
      </c>
      <c r="AJ17" s="17">
        <v>35</v>
      </c>
      <c r="AK17" s="17">
        <v>33.75</v>
      </c>
      <c r="AL17" s="17">
        <v>32.5</v>
      </c>
      <c r="AM17" s="17">
        <v>31.25</v>
      </c>
      <c r="AN17" s="17">
        <v>30</v>
      </c>
      <c r="AO17" s="17">
        <v>28.75</v>
      </c>
      <c r="AP17" s="17">
        <v>27.5</v>
      </c>
      <c r="AQ17" s="17">
        <v>26.25</v>
      </c>
      <c r="AR17" s="17">
        <v>25</v>
      </c>
      <c r="AS17" s="17">
        <v>19</v>
      </c>
      <c r="AT17" s="17">
        <v>17</v>
      </c>
      <c r="AU17" s="17">
        <v>15</v>
      </c>
      <c r="AV17" s="17">
        <v>12</v>
      </c>
      <c r="AW17" s="17">
        <v>10</v>
      </c>
    </row>
    <row r="18" spans="1:49" ht="20.25" customHeight="1" x14ac:dyDescent="0.45">
      <c r="A18" s="14" t="s">
        <v>9</v>
      </c>
      <c r="B18" s="16">
        <v>15</v>
      </c>
      <c r="C18" s="12">
        <f t="shared" si="1"/>
        <v>1</v>
      </c>
      <c r="D18" s="13">
        <v>8</v>
      </c>
      <c r="E18" s="12">
        <f t="shared" si="2"/>
        <v>8</v>
      </c>
      <c r="F18" s="14"/>
      <c r="G18" s="15"/>
      <c r="H18" s="2"/>
      <c r="I18" s="2"/>
      <c r="J18" s="2"/>
      <c r="T18" s="19" t="s">
        <v>8</v>
      </c>
      <c r="U18" s="18">
        <v>100</v>
      </c>
      <c r="V18" s="18">
        <v>100</v>
      </c>
      <c r="W18" s="17">
        <v>90</v>
      </c>
      <c r="X18" s="17">
        <v>80</v>
      </c>
      <c r="Y18" s="17">
        <v>77.5</v>
      </c>
      <c r="Z18" s="17">
        <v>75</v>
      </c>
      <c r="AA18" s="17">
        <v>72.5</v>
      </c>
      <c r="AB18" s="17">
        <v>70</v>
      </c>
      <c r="AC18" s="17">
        <v>66.25</v>
      </c>
      <c r="AD18" s="17">
        <v>62.5</v>
      </c>
      <c r="AE18" s="17">
        <v>58.75</v>
      </c>
      <c r="AF18" s="17">
        <v>55</v>
      </c>
      <c r="AG18" s="17">
        <v>53.75</v>
      </c>
      <c r="AH18" s="17">
        <v>52.5</v>
      </c>
      <c r="AI18" s="17">
        <v>51.25</v>
      </c>
      <c r="AJ18" s="17">
        <v>50</v>
      </c>
      <c r="AK18" s="17">
        <v>49.75</v>
      </c>
      <c r="AL18" s="17">
        <v>49.5</v>
      </c>
      <c r="AM18" s="17">
        <v>49.25</v>
      </c>
      <c r="AN18" s="17">
        <v>49</v>
      </c>
      <c r="AO18" s="17">
        <v>48.75</v>
      </c>
      <c r="AP18" s="17">
        <v>48.5</v>
      </c>
      <c r="AQ18" s="17">
        <v>48.25</v>
      </c>
      <c r="AR18" s="17">
        <v>48</v>
      </c>
      <c r="AS18" s="17">
        <v>45</v>
      </c>
      <c r="AT18" s="17">
        <v>40</v>
      </c>
      <c r="AU18" s="17">
        <v>38</v>
      </c>
      <c r="AV18" s="17">
        <v>35</v>
      </c>
      <c r="AW18" s="17">
        <v>33</v>
      </c>
    </row>
    <row r="19" spans="1:49" ht="20.25" customHeight="1" x14ac:dyDescent="0.45">
      <c r="A19" s="14" t="s">
        <v>7</v>
      </c>
      <c r="B19" s="16">
        <v>15</v>
      </c>
      <c r="C19" s="12">
        <f t="shared" si="1"/>
        <v>1</v>
      </c>
      <c r="D19" s="13">
        <v>8</v>
      </c>
      <c r="E19" s="12">
        <f t="shared" si="2"/>
        <v>8</v>
      </c>
      <c r="F19" s="14"/>
      <c r="G19" s="15"/>
      <c r="H19" s="2"/>
      <c r="I19" s="2"/>
      <c r="J19" s="2"/>
    </row>
    <row r="20" spans="1:49" ht="20.25" customHeight="1" x14ac:dyDescent="0.45">
      <c r="A20" s="14" t="s">
        <v>6</v>
      </c>
      <c r="B20" s="16">
        <v>20</v>
      </c>
      <c r="C20" s="12">
        <f t="shared" si="1"/>
        <v>2.6</v>
      </c>
      <c r="D20" s="13">
        <v>3</v>
      </c>
      <c r="E20" s="12">
        <f t="shared" si="2"/>
        <v>7.8000000000000007</v>
      </c>
      <c r="F20" s="14"/>
      <c r="G20" s="15"/>
      <c r="H20" s="2"/>
      <c r="I20" s="2"/>
      <c r="J20" s="2"/>
    </row>
    <row r="21" spans="1:49" ht="20.25" customHeight="1" x14ac:dyDescent="0.45">
      <c r="A21" s="14" t="s">
        <v>5</v>
      </c>
      <c r="B21" s="16">
        <v>15</v>
      </c>
      <c r="C21" s="12">
        <f t="shared" si="1"/>
        <v>1</v>
      </c>
      <c r="D21" s="13">
        <v>2</v>
      </c>
      <c r="E21" s="12">
        <f t="shared" si="2"/>
        <v>2</v>
      </c>
      <c r="F21" s="14"/>
      <c r="G21" s="15"/>
      <c r="H21" s="2"/>
      <c r="I21" s="2"/>
      <c r="J21" s="2"/>
    </row>
    <row r="22" spans="1:49" ht="20.25" customHeight="1" x14ac:dyDescent="0.45">
      <c r="A22" s="14" t="s">
        <v>4</v>
      </c>
      <c r="B22" s="16">
        <v>20</v>
      </c>
      <c r="C22" s="12">
        <f t="shared" si="1"/>
        <v>2.6</v>
      </c>
      <c r="D22" s="13">
        <v>4</v>
      </c>
      <c r="E22" s="12">
        <f t="shared" si="2"/>
        <v>10.4</v>
      </c>
      <c r="F22" s="14"/>
      <c r="G22" s="15"/>
      <c r="H22" s="2"/>
      <c r="I22" s="2"/>
      <c r="J22" s="2"/>
    </row>
    <row r="23" spans="1:49" ht="20.25" customHeight="1" x14ac:dyDescent="0.45">
      <c r="A23" s="14" t="s">
        <v>3</v>
      </c>
      <c r="B23" s="16">
        <v>15</v>
      </c>
      <c r="C23" s="12">
        <f t="shared" si="1"/>
        <v>1</v>
      </c>
      <c r="D23" s="13"/>
      <c r="E23" s="12" t="str">
        <f t="shared" si="2"/>
        <v/>
      </c>
      <c r="F23" s="14"/>
      <c r="G23" s="15"/>
      <c r="H23" s="2"/>
      <c r="I23" s="2"/>
      <c r="J23" s="2"/>
    </row>
    <row r="24" spans="1:49" ht="20.25" customHeight="1" x14ac:dyDescent="0.45">
      <c r="A24" s="14" t="s">
        <v>2</v>
      </c>
      <c r="B24" s="12"/>
      <c r="C24" s="12" t="str">
        <f t="shared" si="1"/>
        <v/>
      </c>
      <c r="D24" s="13">
        <f>SUM(D17:D23)</f>
        <v>28</v>
      </c>
      <c r="E24" s="12">
        <f>SUBTOTAL(9,E18:E23)</f>
        <v>36.200000000000003</v>
      </c>
      <c r="F24" s="11">
        <f>IF(E24=0,"",(HLOOKUP(E24,$T$16:$AW$18,3)*0.01))</f>
        <v>0.45</v>
      </c>
      <c r="G24" s="10">
        <f>IF(E24=0,"",ROUND(F24*E24,2))</f>
        <v>16.29</v>
      </c>
      <c r="H24" s="5">
        <f>LOOKUP(G24,$Q$3:$R$14)</f>
        <v>50</v>
      </c>
      <c r="I24" s="2"/>
      <c r="J24" s="2"/>
    </row>
    <row r="25" spans="1:49" ht="22.5" customHeight="1" x14ac:dyDescent="0.45">
      <c r="A25" s="9" t="s">
        <v>1</v>
      </c>
      <c r="B25" s="8" t="s">
        <v>0</v>
      </c>
      <c r="C25" s="8"/>
      <c r="D25" s="8"/>
      <c r="E25" s="7"/>
      <c r="F25" s="6"/>
      <c r="G25" s="4">
        <f>SUM($G$17:$G$24)</f>
        <v>28.42</v>
      </c>
      <c r="H25" s="5">
        <f>LOOKUP(G25,$Q$3:$R$14)</f>
        <v>50</v>
      </c>
      <c r="I25" s="4" t="str">
        <f>IF(SUM($G$17:$G$24)&gt;=35,"마찰손실도표를 이용하세요","")</f>
        <v/>
      </c>
      <c r="J25" s="3"/>
    </row>
    <row r="26" spans="1:49" ht="22.5" customHeight="1" x14ac:dyDescent="0.45">
      <c r="J26" s="2"/>
    </row>
    <row r="27" spans="1:49" ht="22.5" customHeight="1" x14ac:dyDescent="0.45">
      <c r="J27" s="2"/>
    </row>
    <row r="28" spans="1:49" ht="22.5" customHeight="1" x14ac:dyDescent="0.45">
      <c r="J28" s="2"/>
    </row>
    <row r="29" spans="1:49" ht="22.5" customHeight="1" x14ac:dyDescent="0.45"/>
    <row r="30" spans="1:49" ht="22.5" customHeight="1" x14ac:dyDescent="0.45"/>
  </sheetData>
  <mergeCells count="1">
    <mergeCell ref="T15:U15"/>
  </mergeCells>
  <phoneticPr fontId="2" type="noConversion"/>
  <printOptions horizontalCentered="1" verticalCentered="1"/>
  <pageMargins left="0.35433070866141736" right="0.35433070866141736" top="0.17" bottom="0.18" header="0.11811023622047245" footer="0.11811023622047245"/>
  <pageSetup paperSize="9" scale="90" orientation="landscape" horizontalDpi="300" verticalDpi="300" r:id="rId1"/>
  <headerFooter alignWithMargins="0"/>
  <colBreaks count="1" manualBreakCount="1">
    <brk id="12" max="1048575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8A05-4D97-4405-9935-5C06DE3550C4}">
  <dimension ref="B2"/>
  <sheetViews>
    <sheetView workbookViewId="0">
      <selection activeCell="I18" sqref="I18"/>
    </sheetView>
  </sheetViews>
  <sheetFormatPr defaultRowHeight="17" x14ac:dyDescent="0.45"/>
  <sheetData>
    <row r="2" spans="2:2" x14ac:dyDescent="0.45">
      <c r="B2">
        <f>82.5*0.01</f>
        <v>0.82500000000000007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급수관경결정</vt:lpstr>
      <vt:lpstr>계산검증</vt:lpstr>
      <vt:lpstr>급수관경결정!Print_Area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준회 정</dc:creator>
  <cp:lastModifiedBy>준회 정</cp:lastModifiedBy>
  <dcterms:created xsi:type="dcterms:W3CDTF">2025-12-24T10:36:31Z</dcterms:created>
  <dcterms:modified xsi:type="dcterms:W3CDTF">2025-12-28T08:35:51Z</dcterms:modified>
</cp:coreProperties>
</file>